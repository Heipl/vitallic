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rduino\SAM Patsiuk\"/>
    </mc:Choice>
  </mc:AlternateContent>
  <xr:revisionPtr revIDLastSave="0" documentId="13_ncr:1_{B5669ED4-2A0C-4AC7-BC38-AD6085C07934}" xr6:coauthVersionLast="47" xr6:coauthVersionMax="47" xr10:uidLastSave="{00000000-0000-0000-0000-000000000000}"/>
  <bookViews>
    <workbookView xWindow="-108" yWindow="-108" windowWidth="23256" windowHeight="12456" xr2:uid="{1349BC53-A3DC-45D5-8D5A-C9C226D57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3" i="1"/>
  <c r="C4" i="1"/>
  <c r="C5" i="1"/>
  <c r="D5" i="1" s="1"/>
  <c r="C6" i="1"/>
  <c r="C7" i="1"/>
  <c r="C8" i="1"/>
  <c r="C11" i="1"/>
  <c r="D12" i="1"/>
  <c r="C13" i="1"/>
  <c r="D13" i="1" s="1"/>
  <c r="C2" i="1"/>
  <c r="D11" i="1"/>
  <c r="D10" i="1"/>
  <c r="D8" i="1"/>
  <c r="D7" i="1"/>
  <c r="D6" i="1"/>
  <c r="D4" i="1"/>
  <c r="D3" i="1"/>
  <c r="C14" i="1" l="1"/>
  <c r="D2" i="1"/>
  <c r="D14" i="1" s="1"/>
</calcChain>
</file>

<file path=xl/sharedStrings.xml><?xml version="1.0" encoding="utf-8"?>
<sst xmlns="http://schemas.openxmlformats.org/spreadsheetml/2006/main" count="20" uniqueCount="20">
  <si>
    <t>Part name</t>
  </si>
  <si>
    <t>Price, UAH</t>
  </si>
  <si>
    <t>Price, USD</t>
  </si>
  <si>
    <t>Arduino Uno R3</t>
  </si>
  <si>
    <t>US-025</t>
  </si>
  <si>
    <t>L298N</t>
  </si>
  <si>
    <t>HC-05</t>
  </si>
  <si>
    <t>Quantity</t>
  </si>
  <si>
    <t>Reductor motor</t>
  </si>
  <si>
    <t>MDS-60</t>
  </si>
  <si>
    <t>Powerbank</t>
  </si>
  <si>
    <t>USB ports</t>
  </si>
  <si>
    <t>Acrylic sheets</t>
  </si>
  <si>
    <t>0.5 m³</t>
  </si>
  <si>
    <t>0.4 m</t>
  </si>
  <si>
    <t>Wiring 16AWG</t>
  </si>
  <si>
    <t>Tools, misc</t>
  </si>
  <si>
    <t>n/a</t>
  </si>
  <si>
    <t>Delivery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</si>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</sst>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D7B3-48C4-43AD-B239-9A956CD69574}">
  <dimension ref="A1:I14"/>
  <sheetViews>
    <sheetView tabSelected="1" zoomScale="175" zoomScaleNormal="175" workbookViewId="0">
      <selection activeCell="C13" sqref="C13"/>
    </sheetView>
  </sheetViews>
  <sheetFormatPr defaultRowHeight="14.4" x14ac:dyDescent="0.3"/>
  <cols>
    <col min="1" max="1" width="14.109375" bestFit="1" customWidth="1"/>
    <col min="2" max="2" width="8" bestFit="1" customWidth="1"/>
    <col min="3" max="3" width="9.33203125" bestFit="1" customWidth="1"/>
  </cols>
  <sheetData>
    <row r="1" spans="1:9" x14ac:dyDescent="0.3">
      <c r="A1" s="2" t="s">
        <v>0</v>
      </c>
      <c r="B1" s="2" t="s">
        <v>7</v>
      </c>
      <c r="C1" s="2" t="s">
        <v>1</v>
      </c>
      <c r="D1" s="2" t="s">
        <v>2</v>
      </c>
    </row>
    <row r="2" spans="1:9" x14ac:dyDescent="0.3">
      <c r="A2" t="s">
        <v>3</v>
      </c>
      <c r="B2">
        <v>1</v>
      </c>
      <c r="C2" s="1">
        <f>(280*B2)</f>
        <v>280</v>
      </c>
      <c r="D2" s="1">
        <f>(C2*I10)</f>
        <v>7.56</v>
      </c>
    </row>
    <row r="3" spans="1:9" x14ac:dyDescent="0.3">
      <c r="A3" t="s">
        <v>4</v>
      </c>
      <c r="B3">
        <v>2</v>
      </c>
      <c r="C3" s="1">
        <f t="shared" ref="C3:C13" si="0">(280*B3)</f>
        <v>560</v>
      </c>
      <c r="D3" s="1">
        <f>(C3*I10)</f>
        <v>15.12</v>
      </c>
    </row>
    <row r="4" spans="1:9" x14ac:dyDescent="0.3">
      <c r="A4" t="s">
        <v>5</v>
      </c>
      <c r="B4">
        <v>2</v>
      </c>
      <c r="C4" s="1">
        <f t="shared" si="0"/>
        <v>560</v>
      </c>
      <c r="D4" s="1">
        <f>(C4*I10)</f>
        <v>15.12</v>
      </c>
    </row>
    <row r="5" spans="1:9" x14ac:dyDescent="0.3">
      <c r="A5" t="s">
        <v>6</v>
      </c>
      <c r="B5">
        <v>1</v>
      </c>
      <c r="C5" s="1">
        <f t="shared" si="0"/>
        <v>280</v>
      </c>
      <c r="D5" s="1">
        <f>(C5*I10)</f>
        <v>7.56</v>
      </c>
    </row>
    <row r="6" spans="1:9" x14ac:dyDescent="0.3">
      <c r="A6" t="s">
        <v>8</v>
      </c>
      <c r="B6">
        <v>4</v>
      </c>
      <c r="C6" s="1">
        <f t="shared" si="0"/>
        <v>1120</v>
      </c>
      <c r="D6" s="1">
        <f>(C6*I10)</f>
        <v>30.24</v>
      </c>
    </row>
    <row r="7" spans="1:9" x14ac:dyDescent="0.3">
      <c r="A7" t="s">
        <v>9</v>
      </c>
      <c r="B7">
        <v>1</v>
      </c>
      <c r="C7" s="1">
        <f t="shared" si="0"/>
        <v>280</v>
      </c>
      <c r="D7" s="1">
        <f>(C7*I10)</f>
        <v>7.56</v>
      </c>
    </row>
    <row r="8" spans="1:9" x14ac:dyDescent="0.3">
      <c r="A8" t="s">
        <v>10</v>
      </c>
      <c r="B8">
        <v>1</v>
      </c>
      <c r="C8" s="1">
        <f t="shared" si="0"/>
        <v>280</v>
      </c>
      <c r="D8" s="1">
        <f>(C8*I10)</f>
        <v>7.56</v>
      </c>
    </row>
    <row r="9" spans="1:9" x14ac:dyDescent="0.3">
      <c r="A9" t="s">
        <v>15</v>
      </c>
      <c r="B9" t="s">
        <v>14</v>
      </c>
      <c r="C9" s="1">
        <v>280</v>
      </c>
      <c r="D9" s="1">
        <f>(C9*I10)</f>
        <v>7.56</v>
      </c>
    </row>
    <row r="10" spans="1:9" x14ac:dyDescent="0.3">
      <c r="A10" t="s">
        <v>12</v>
      </c>
      <c r="B10" t="s">
        <v>13</v>
      </c>
      <c r="C10" s="1">
        <v>280</v>
      </c>
      <c r="D10" s="1">
        <f>(C10*I10)</f>
        <v>7.56</v>
      </c>
      <c r="I10">
        <v>2.7E-2</v>
      </c>
    </row>
    <row r="11" spans="1:9" x14ac:dyDescent="0.3">
      <c r="A11" t="s">
        <v>11</v>
      </c>
      <c r="B11">
        <v>2</v>
      </c>
      <c r="C11" s="1">
        <f t="shared" si="0"/>
        <v>560</v>
      </c>
      <c r="D11" s="1">
        <f>(C11*I10)</f>
        <v>15.12</v>
      </c>
    </row>
    <row r="12" spans="1:9" x14ac:dyDescent="0.3">
      <c r="A12" t="s">
        <v>16</v>
      </c>
      <c r="B12" t="s">
        <v>17</v>
      </c>
      <c r="C12" s="1">
        <v>280</v>
      </c>
      <c r="D12" s="1">
        <f>(C12*I10)</f>
        <v>7.56</v>
      </c>
    </row>
    <row r="13" spans="1:9" x14ac:dyDescent="0.3">
      <c r="A13" t="s">
        <v>18</v>
      </c>
      <c r="B13">
        <v>4</v>
      </c>
      <c r="C13" s="1">
        <f t="shared" si="0"/>
        <v>1120</v>
      </c>
      <c r="D13" s="1">
        <f>(C13*I10)</f>
        <v>30.24</v>
      </c>
    </row>
    <row r="14" spans="1:9" x14ac:dyDescent="0.3">
      <c r="A14" s="2" t="s">
        <v>19</v>
      </c>
      <c r="B14" s="2"/>
      <c r="C14" s="3">
        <f>SUM(C2:C13)</f>
        <v>5880</v>
      </c>
      <c r="D14" s="3">
        <f>SUM(D2:D13)</f>
        <v>158.76000000000002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</dc:creator>
  <cp:lastModifiedBy>Vitalii</cp:lastModifiedBy>
  <dcterms:created xsi:type="dcterms:W3CDTF">2023-03-26T06:22:18Z</dcterms:created>
  <dcterms:modified xsi:type="dcterms:W3CDTF">2023-03-26T06:43:36Z</dcterms:modified>
</cp:coreProperties>
</file>